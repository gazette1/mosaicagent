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ources &amp; Uses" state="visible" r:id="rId5"/>
    <sheet sheetId="3" name="Operating Pro Forma" state="visible" r:id="rId6"/>
    <sheet sheetId="4" name="Debt &amp; Covenants" state="visible" r:id="rId7"/>
    <sheet sheetId="5" name="Sensitivity" state="visible" r:id="rId8"/>
    <sheet sheetId="6" name="Refinance &amp; Exit" state="visible" r:id="rId9"/>
    <sheet sheetId="7" name="Audit" state="visible" r:id="rId10"/>
  </sheets>
  <calcPr calcId="171027"/>
</workbook>
</file>

<file path=xl/sharedStrings.xml><?xml version="1.0" encoding="utf-8"?>
<sst xmlns="http://schemas.openxmlformats.org/spreadsheetml/2006/main" count="207" uniqueCount="169">
  <si>
    <t>SANDCASTLE / MYRTLE BEACH RADISSON — BRIDGE LOAN PACKAGE</t>
  </si>
  <si>
    <t/>
  </si>
  <si>
    <t>Prepared under Mosaic Capital Solutions</t>
  </si>
  <si>
    <t>Property</t>
  </si>
  <si>
    <t>150-key oceanfront hotel, Myrtle Beach SC</t>
  </si>
  <si>
    <t>Bridge memo p.1</t>
  </si>
  <si>
    <t>Flag (post-conversion)</t>
  </si>
  <si>
    <t>Radisson (Choice Hotels)</t>
  </si>
  <si>
    <t>Bridge memo</t>
  </si>
  <si>
    <t>Sponsor</t>
  </si>
  <si>
    <t>Laray Benton</t>
  </si>
  <si>
    <t>Purchase Price</t>
  </si>
  <si>
    <t>PSA per bridge memo</t>
  </si>
  <si>
    <t>2022 Appraised Value</t>
  </si>
  <si>
    <t>Appraisal 22-NY-454</t>
  </si>
  <si>
    <t>Discount to Appraisal</t>
  </si>
  <si>
    <t>= 1 - price / appraisal</t>
  </si>
  <si>
    <t>Total Project Cost</t>
  </si>
  <si>
    <t>Sources &amp; Uses sheet</t>
  </si>
  <si>
    <t>Loan Request (Senior Bridge)</t>
  </si>
  <si>
    <t>LTC</t>
  </si>
  <si>
    <t>= loan / total cost</t>
  </si>
  <si>
    <t>LTV on 2022 Appraisal</t>
  </si>
  <si>
    <t>= loan / appraisal</t>
  </si>
  <si>
    <t>Price per Key</t>
  </si>
  <si>
    <t>= price / keys</t>
  </si>
  <si>
    <t>Stabilized DSCR (Y3)</t>
  </si>
  <si>
    <t>Debt sheet</t>
  </si>
  <si>
    <t>Stabilized Debt Yield (Y3)</t>
  </si>
  <si>
    <t>SOURCES</t>
  </si>
  <si>
    <t>Amount</t>
  </si>
  <si>
    <t>% Total</t>
  </si>
  <si>
    <t>Notes</t>
  </si>
  <si>
    <t>Senior Bridge Loan</t>
  </si>
  <si>
    <t>Single unitranche, first lien</t>
  </si>
  <si>
    <t>Sponsor Equity (invested)</t>
  </si>
  <si>
    <t>Predevelopment, deposit, soft costs, closing gap</t>
  </si>
  <si>
    <t>Seller Carry Note</t>
  </si>
  <si>
    <t>5-yr, 6%, fully subordinated</t>
  </si>
  <si>
    <t>Additional Equity Raise</t>
  </si>
  <si>
    <t>LP or capital call at close</t>
  </si>
  <si>
    <t>Key Money (Choice, at PIP completion)</t>
  </si>
  <si>
    <t>Earned Month 20-21, treated as equity; NOT cash at close</t>
  </si>
  <si>
    <t>Total Sources (at-close basis excl. key money)</t>
  </si>
  <si>
    <t>Memo presents 25MM incl. key money; at-close cash = 28.5-2.5+contra</t>
  </si>
  <si>
    <t>USES</t>
  </si>
  <si>
    <t>Property Acquisition</t>
  </si>
  <si>
    <t>Purchase price</t>
  </si>
  <si>
    <t>Renovation / PIP</t>
  </si>
  <si>
    <t>Phased draws, months 1-20</t>
  </si>
  <si>
    <t>Closing Costs</t>
  </si>
  <si>
    <t>Legal, DD, title, lender fees</t>
  </si>
  <si>
    <t>Reserves</t>
  </si>
  <si>
    <t>DS reserve 700K, op deficit 500K, replacement 50K</t>
  </si>
  <si>
    <t>Working Capital</t>
  </si>
  <si>
    <t>Pre-opening, marketing, staffing</t>
  </si>
  <si>
    <t>Total Uses</t>
  </si>
  <si>
    <t>Check: Uses 25.0MM vs Sources incl. key money 31.0MM per memo tables; memo double counts. At-close sources 28.5MM excl. key money = uses 27.5? See Audit sheet variance log.</t>
  </si>
  <si>
    <t>Y1 Renovation</t>
  </si>
  <si>
    <t>Y2 Stabilizing</t>
  </si>
  <si>
    <t>Y3 Stabilized</t>
  </si>
  <si>
    <t>Source / Formula</t>
  </si>
  <si>
    <t>Keys</t>
  </si>
  <si>
    <t>Occupancy</t>
  </si>
  <si>
    <t>Memo pro forma assumptions</t>
  </si>
  <si>
    <t>ADR</t>
  </si>
  <si>
    <t>RevPAR</t>
  </si>
  <si>
    <t>= occupancy x ADR</t>
  </si>
  <si>
    <t>Rooms Revenue</t>
  </si>
  <si>
    <t>= keys x 365 x occ x ADR</t>
  </si>
  <si>
    <t>F&amp;B / Ancillary</t>
  </si>
  <si>
    <t>Memo (Y1 est to reconcile total rev)</t>
  </si>
  <si>
    <t>Total Revenue</t>
  </si>
  <si>
    <t>= rooms + ancillary</t>
  </si>
  <si>
    <t>Operating Expenses</t>
  </si>
  <si>
    <t>Memo; Y2 ~62%, Y3 ~60% of revenue</t>
  </si>
  <si>
    <t>Expense Ratio</t>
  </si>
  <si>
    <t>= expenses / revenue</t>
  </si>
  <si>
    <t>NOI</t>
  </si>
  <si>
    <t>= revenue - expenses</t>
  </si>
  <si>
    <t>Memo variance note: memo states Y2 rooms revenue 5,115,750 and Y3 6,132,000; formula math gives the values above. Formulas govern.</t>
  </si>
  <si>
    <t>Facility</t>
  </si>
  <si>
    <t>Loan Amount</t>
  </si>
  <si>
    <t>Index (SOFR)</t>
  </si>
  <si>
    <t>Memo, current SOFR ~5.30% (Dec 2025). REFRESH AT SUBMISSION</t>
  </si>
  <si>
    <t>Spread (bps)</t>
  </si>
  <si>
    <t>Target SOFR + 350-400; conservative end used</t>
  </si>
  <si>
    <t>All-in Rate</t>
  </si>
  <si>
    <t>= index + spread</t>
  </si>
  <si>
    <t>Amortization</t>
  </si>
  <si>
    <t>Interest-only months 1-26</t>
  </si>
  <si>
    <t>Memo</t>
  </si>
  <si>
    <t>Annual Debt Service (IO)</t>
  </si>
  <si>
    <t>= loan x all-in rate</t>
  </si>
  <si>
    <t>Origination Fee (2.0%)</t>
  </si>
  <si>
    <t>Memo range 1.5-2.0%</t>
  </si>
  <si>
    <t>Exit Fee (1.0% if &lt; 24 mo)</t>
  </si>
  <si>
    <t>Waived if held 30+ months</t>
  </si>
  <si>
    <t>Coverage</t>
  </si>
  <si>
    <t>Value</t>
  </si>
  <si>
    <t>Test</t>
  </si>
  <si>
    <t>Y1 DSCR</t>
  </si>
  <si>
    <t>Covered by DS reserve + sponsor carry guaranty</t>
  </si>
  <si>
    <t>Y2 DSCR</t>
  </si>
  <si>
    <t>Covenant min 1.25x at stabilization (Month 26+)</t>
  </si>
  <si>
    <t>Y3 DSCR</t>
  </si>
  <si>
    <t>Covenant min 1.25x</t>
  </si>
  <si>
    <t>Y3 Debt Yield</t>
  </si>
  <si>
    <t>Covenant min 10.0%</t>
  </si>
  <si>
    <t>Occupancy covenant</t>
  </si>
  <si>
    <t>Min 60% for 90 consecutive days post-renovation</t>
  </si>
  <si>
    <t>ADR covenant</t>
  </si>
  <si>
    <t>Min $140 average post-renovation</t>
  </si>
  <si>
    <t>Debt Service Reserve</t>
  </si>
  <si>
    <t>6 months interest, funded at closing</t>
  </si>
  <si>
    <t>Operating Deficit Reserve</t>
  </si>
  <si>
    <t>Released at DSCR &gt; 1.15x two consecutive quarters</t>
  </si>
  <si>
    <t>Replacement Reserve</t>
  </si>
  <si>
    <t>$300/key/year</t>
  </si>
  <si>
    <t>Y3 DSCR: Occupancy x ADR</t>
  </si>
  <si>
    <t>ADR 140</t>
  </si>
  <si>
    <t>ADR 150</t>
  </si>
  <si>
    <t>ADR 160</t>
  </si>
  <si>
    <t>ADR 170</t>
  </si>
  <si>
    <t>Occ 60%</t>
  </si>
  <si>
    <t>Occ 65%</t>
  </si>
  <si>
    <t>Occ 70%</t>
  </si>
  <si>
    <t>Occ 75%</t>
  </si>
  <si>
    <t>Assumes Y3 ancillary revenue and a 60% expense ratio; debt service from Debt sheet.</t>
  </si>
  <si>
    <t>Permanent Debt Sizing (Month 30-36)</t>
  </si>
  <si>
    <t>Stabilized NOI (Y3)</t>
  </si>
  <si>
    <t>Pro forma sheet</t>
  </si>
  <si>
    <t>Perm Rate</t>
  </si>
  <si>
    <t>Memo assumption</t>
  </si>
  <si>
    <t>Perm Amortization (years)</t>
  </si>
  <si>
    <t>Loan Constant</t>
  </si>
  <si>
    <t>Monthly payment constant, annualized</t>
  </si>
  <si>
    <t>Min DSCR Sizing (1.30x)</t>
  </si>
  <si>
    <t>= NOI / 1.30 / constant</t>
  </si>
  <si>
    <t>Exit Cap Rate</t>
  </si>
  <si>
    <t>Stabilized Value</t>
  </si>
  <si>
    <t>= NOI / cap</t>
  </si>
  <si>
    <t>65% LTV Sizing</t>
  </si>
  <si>
    <t>= value x 65%</t>
  </si>
  <si>
    <t>Conservative Proceeds (lower of)</t>
  </si>
  <si>
    <t>Lower of DSCR and LTV sizing</t>
  </si>
  <si>
    <t>Senior Bridge Payoff</t>
  </si>
  <si>
    <t>Refi Closing Costs</t>
  </si>
  <si>
    <t>Cash to Equity at Refi</t>
  </si>
  <si>
    <t>= proceeds - payoff - costs</t>
  </si>
  <si>
    <t>Item</t>
  </si>
  <si>
    <t>Note</t>
  </si>
  <si>
    <t>Confidence</t>
  </si>
  <si>
    <t>Source document</t>
  </si>
  <si>
    <t>Myrtle_Beach_Radisson_Bridge_Financing_Memo.md, Dec 8 2025, authored by Russ</t>
  </si>
  <si>
    <t>Appraisal</t>
  </si>
  <si>
    <t>22-NY-454 Sandcastle South Beach (2022, 23.0MM). Dated; lender will re-appraise</t>
  </si>
  <si>
    <t>SOFR 5.30%</t>
  </si>
  <si>
    <t>As of memo date Dec 2025. Must refresh at submission</t>
  </si>
  <si>
    <t>Y2 rooms revenue variance</t>
  </si>
  <si>
    <t>Memo table says 5,115,750; keys x 365 x 62% x 150 = 5,092,875. Formula governs</t>
  </si>
  <si>
    <t>Y3 rooms revenue variance</t>
  </si>
  <si>
    <t>Memo says 6,132,000; keys x 365 x 70% x 160 = 6,132,000. Matches</t>
  </si>
  <si>
    <t>Sources table variance</t>
  </si>
  <si>
    <t>Memo sources sum to 31.0MM against 25.0MM uses because key money and seller carry both listed at close; key money lands Month 20-21</t>
  </si>
  <si>
    <t>Y1 F&amp;B plug</t>
  </si>
  <si>
    <t>Y1 ancillary set to reconcile memo total revenue 1,815,000 with rooms formula</t>
  </si>
  <si>
    <t>Trailing financials</t>
  </si>
  <si>
    <t>T12 occupancy 52%, ADR 118, RevPAR 61 per memo. No operating statements in data room yet: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</si>
</sst>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0&quot;x&quot;"/>
  </numFmts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2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38" customWidth="1"/>
    <col min="2" max="2" width="18" customWidth="1"/>
    <col min="3" max="3" width="50" customWidth="1"/>
  </cols>
  <sheetData>
    <row r="1" spans="1:3" s="1" customFormat="1" x14ac:dyDescent="0.25">
      <c r="A1" s="1" t="s">
        <v>0</v>
      </c>
      <c r="B1" s="1" t="s">
        <v>1</v>
      </c>
      <c r="C1" s="1" t="s">
        <v>1</v>
      </c>
    </row>
    <row r="2" spans="1:3" x14ac:dyDescent="0.25">
      <c r="A2" t="s">
        <v>2</v>
      </c>
      <c r="B2" t="s">
        <v>1</v>
      </c>
      <c r="C2" t="s">
        <v>1</v>
      </c>
    </row>
    <row r="3" spans="1:3" x14ac:dyDescent="0.25">
      <c r="A3" t="s">
        <v>1</v>
      </c>
      <c r="B3" t="s">
        <v>1</v>
      </c>
      <c r="C3" t="s">
        <v>1</v>
      </c>
    </row>
    <row r="4" spans="1:3" x14ac:dyDescent="0.25">
      <c r="A4" t="s">
        <v>3</v>
      </c>
      <c r="B4" t="s">
        <v>4</v>
      </c>
      <c r="C4" t="s">
        <v>5</v>
      </c>
    </row>
    <row r="5" spans="1:3" x14ac:dyDescent="0.25">
      <c r="A5" t="s">
        <v>6</v>
      </c>
      <c r="B5" t="s">
        <v>7</v>
      </c>
      <c r="C5" t="s">
        <v>8</v>
      </c>
    </row>
    <row r="6" spans="1:3" x14ac:dyDescent="0.25">
      <c r="A6" t="s">
        <v>9</v>
      </c>
      <c r="B6" t="s">
        <v>10</v>
      </c>
      <c r="C6" t="s">
        <v>8</v>
      </c>
    </row>
    <row r="7" spans="1:3" x14ac:dyDescent="0.25">
      <c r="A7" t="s">
        <v>11</v>
      </c>
      <c r="B7" s="2">
        <v>16500000</v>
      </c>
      <c r="C7" t="s">
        <v>12</v>
      </c>
    </row>
    <row r="8" spans="1:3" x14ac:dyDescent="0.25">
      <c r="A8" t="s">
        <v>13</v>
      </c>
      <c r="B8" s="2">
        <v>23000000</v>
      </c>
      <c r="C8" t="s">
        <v>14</v>
      </c>
    </row>
    <row r="9" spans="1:3" x14ac:dyDescent="0.25">
      <c r="A9" t="s">
        <v>15</v>
      </c>
      <c r="B9" s="3">
        <f>1-B7/B8</f>
      </c>
      <c r="C9" t="s">
        <v>16</v>
      </c>
    </row>
    <row r="10" spans="1:3" x14ac:dyDescent="0.25">
      <c r="A10" t="s">
        <v>17</v>
      </c>
      <c r="B10" s="2">
        <v>25000000</v>
      </c>
      <c r="C10" t="s">
        <v>18</v>
      </c>
    </row>
    <row r="11" spans="1:3" x14ac:dyDescent="0.25">
      <c r="A11" t="s">
        <v>19</v>
      </c>
      <c r="B11" s="2">
        <v>18400000</v>
      </c>
      <c r="C11" t="s">
        <v>8</v>
      </c>
    </row>
    <row r="12" spans="1:3" x14ac:dyDescent="0.25">
      <c r="A12" t="s">
        <v>20</v>
      </c>
      <c r="B12" s="3">
        <f>B11/B10</f>
      </c>
      <c r="C12" t="s">
        <v>21</v>
      </c>
    </row>
    <row r="13" spans="1:3" x14ac:dyDescent="0.25">
      <c r="A13" t="s">
        <v>22</v>
      </c>
      <c r="B13" s="3">
        <f>B11/B8</f>
      </c>
      <c r="C13" t="s">
        <v>23</v>
      </c>
    </row>
    <row r="14" spans="1:3" x14ac:dyDescent="0.25">
      <c r="A14" t="s">
        <v>24</v>
      </c>
      <c r="B14" s="2">
        <f>B7/150</f>
      </c>
      <c r="C14" t="s">
        <v>25</v>
      </c>
    </row>
    <row r="15" spans="1:3" x14ac:dyDescent="0.25">
      <c r="A15" t="s">
        <v>26</v>
      </c>
      <c r="B15" s="4">
        <f>'Debt &amp; Covenants'!B14</f>
      </c>
      <c r="C15" t="s">
        <v>27</v>
      </c>
    </row>
    <row r="16" spans="1:3" x14ac:dyDescent="0.25">
      <c r="A16" t="s">
        <v>28</v>
      </c>
      <c r="B16" s="3">
        <f>'Debt &amp; Covenants'!B15</f>
      </c>
      <c r="C16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34" customWidth="1"/>
    <col min="2" max="2" width="16" customWidth="1"/>
    <col min="3" max="3" width="12" customWidth="1"/>
    <col min="4" max="4" width="44" customWidth="1"/>
  </cols>
  <sheetData>
    <row r="1" spans="1:4" s="5" customFormat="1" x14ac:dyDescent="0.25">
      <c r="A1" s="5" t="s">
        <v>29</v>
      </c>
      <c r="B1" s="5" t="s">
        <v>30</v>
      </c>
      <c r="C1" s="5" t="s">
        <v>31</v>
      </c>
      <c r="D1" s="5" t="s">
        <v>32</v>
      </c>
    </row>
    <row r="2" spans="1:4" x14ac:dyDescent="0.25">
      <c r="A2" t="s">
        <v>33</v>
      </c>
      <c r="B2" s="2">
        <v>18400000</v>
      </c>
      <c r="C2" s="3">
        <f>B2/$B$7</f>
      </c>
      <c r="D2" t="s">
        <v>34</v>
      </c>
    </row>
    <row r="3" spans="1:4" x14ac:dyDescent="0.25">
      <c r="A3" t="s">
        <v>35</v>
      </c>
      <c r="B3" s="2">
        <v>6500000</v>
      </c>
      <c r="C3" s="3">
        <f>B3/$B$7</f>
      </c>
      <c r="D3" t="s">
        <v>36</v>
      </c>
    </row>
    <row r="4" spans="1:4" x14ac:dyDescent="0.25">
      <c r="A4" t="s">
        <v>37</v>
      </c>
      <c r="B4" s="2">
        <v>2000000</v>
      </c>
      <c r="C4" s="3">
        <f>B4/$B$7</f>
      </c>
      <c r="D4" t="s">
        <v>38</v>
      </c>
    </row>
    <row r="5" spans="1:4" x14ac:dyDescent="0.25">
      <c r="A5" t="s">
        <v>39</v>
      </c>
      <c r="B5" s="2">
        <v>1600000</v>
      </c>
      <c r="C5" s="3">
        <f>B5/$B$7</f>
      </c>
      <c r="D5" t="s">
        <v>40</v>
      </c>
    </row>
    <row r="6" spans="1:4" x14ac:dyDescent="0.25">
      <c r="A6" t="s">
        <v>41</v>
      </c>
      <c r="B6" s="2">
        <v>2500000</v>
      </c>
      <c r="C6" s="3">
        <f>B6/$B$7</f>
      </c>
      <c r="D6" t="s">
        <v>42</v>
      </c>
    </row>
    <row r="7" spans="1:4" x14ac:dyDescent="0.25">
      <c r="A7" t="s">
        <v>43</v>
      </c>
      <c r="B7" s="2">
        <f>SUM(B2:B5)</f>
      </c>
      <c r="C7" t="s">
        <v>1</v>
      </c>
      <c r="D7" t="s">
        <v>44</v>
      </c>
    </row>
    <row r="9" spans="1:4" s="5" customFormat="1" x14ac:dyDescent="0.25">
      <c r="A9" s="5" t="s">
        <v>45</v>
      </c>
      <c r="B9" s="5" t="s">
        <v>30</v>
      </c>
      <c r="C9" s="5" t="s">
        <v>31</v>
      </c>
      <c r="D9" s="5" t="s">
        <v>32</v>
      </c>
    </row>
    <row r="10" spans="1:4" x14ac:dyDescent="0.25">
      <c r="A10" t="s">
        <v>46</v>
      </c>
      <c r="B10" s="2">
        <v>16500000</v>
      </c>
      <c r="C10" s="3">
        <f>B10/$B$15</f>
      </c>
      <c r="D10" t="s">
        <v>47</v>
      </c>
    </row>
    <row r="11" spans="1:4" x14ac:dyDescent="0.25">
      <c r="A11" t="s">
        <v>48</v>
      </c>
      <c r="B11" s="2">
        <v>8500000</v>
      </c>
      <c r="C11" s="3">
        <f>B11/$B$15</f>
      </c>
      <c r="D11" t="s">
        <v>49</v>
      </c>
    </row>
    <row r="12" spans="1:4" x14ac:dyDescent="0.25">
      <c r="A12" t="s">
        <v>50</v>
      </c>
      <c r="B12" s="2">
        <v>750000</v>
      </c>
      <c r="C12" s="3">
        <f>B12/$B$15</f>
      </c>
      <c r="D12" t="s">
        <v>51</v>
      </c>
    </row>
    <row r="13" spans="1:4" x14ac:dyDescent="0.25">
      <c r="A13" t="s">
        <v>52</v>
      </c>
      <c r="B13" s="2">
        <v>1250000</v>
      </c>
      <c r="C13" s="3">
        <f>B13/$B$15</f>
      </c>
      <c r="D13" t="s">
        <v>53</v>
      </c>
    </row>
    <row r="14" spans="1:4" x14ac:dyDescent="0.25">
      <c r="A14" t="s">
        <v>54</v>
      </c>
      <c r="B14" s="2">
        <v>500000</v>
      </c>
      <c r="C14" s="3">
        <f>B14/$B$15</f>
      </c>
      <c r="D14" t="s">
        <v>55</v>
      </c>
    </row>
    <row r="15" spans="1:4" x14ac:dyDescent="0.25">
      <c r="A15" t="s">
        <v>56</v>
      </c>
      <c r="B15" s="2">
        <f>SUM(B10:B14)</f>
      </c>
      <c r="C15" t="s">
        <v>1</v>
      </c>
      <c r="D15" t="s">
        <v>1</v>
      </c>
    </row>
    <row r="17" spans="1:4" x14ac:dyDescent="0.25">
      <c r="A17" t="s">
        <v>57</v>
      </c>
      <c r="B17" t="s">
        <v>1</v>
      </c>
      <c r="C17" t="s">
        <v>1</v>
      </c>
      <c r="D17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1" width="30" customWidth="1"/>
    <col min="2" max="4" width="16" customWidth="1"/>
    <col min="5" max="5" width="44" customWidth="1"/>
  </cols>
  <sheetData>
    <row r="1" spans="1:5" s="5" customFormat="1" x14ac:dyDescent="0.25">
      <c r="A1" s="5" t="s">
        <v>1</v>
      </c>
      <c r="B1" s="5" t="s">
        <v>58</v>
      </c>
      <c r="C1" s="5" t="s">
        <v>59</v>
      </c>
      <c r="D1" s="5" t="s">
        <v>60</v>
      </c>
      <c r="E1" s="5" t="s">
        <v>61</v>
      </c>
    </row>
    <row r="2" spans="1:5" x14ac:dyDescent="0.25">
      <c r="A2" t="s">
        <v>62</v>
      </c>
      <c r="B2">
        <v>150</v>
      </c>
      <c r="C2">
        <v>150</v>
      </c>
      <c r="D2">
        <v>150</v>
      </c>
      <c r="E2" t="s">
        <v>8</v>
      </c>
    </row>
    <row r="3" spans="1:5" x14ac:dyDescent="0.25">
      <c r="A3" t="s">
        <v>63</v>
      </c>
      <c r="B3" s="3">
        <v>0.3</v>
      </c>
      <c r="C3" s="3">
        <v>0.62</v>
      </c>
      <c r="D3" s="3">
        <v>0.7</v>
      </c>
      <c r="E3" t="s">
        <v>64</v>
      </c>
    </row>
    <row r="4" spans="1:5" x14ac:dyDescent="0.25">
      <c r="A4" t="s">
        <v>65</v>
      </c>
      <c r="B4">
        <v>110</v>
      </c>
      <c r="C4">
        <v>150</v>
      </c>
      <c r="D4">
        <v>160</v>
      </c>
      <c r="E4" t="s">
        <v>64</v>
      </c>
    </row>
    <row r="5" spans="1:5" x14ac:dyDescent="0.25">
      <c r="A5" t="s">
        <v>66</v>
      </c>
      <c r="B5" s="2">
        <f>B3*B4</f>
      </c>
      <c r="C5" s="2">
        <f>C3*C4</f>
      </c>
      <c r="D5" s="2">
        <f>D3*D4</f>
      </c>
      <c r="E5" t="s">
        <v>67</v>
      </c>
    </row>
    <row r="6" spans="1:5" x14ac:dyDescent="0.25">
      <c r="A6" t="s">
        <v>68</v>
      </c>
      <c r="B6" s="2">
        <f>B2*365*B3*B4</f>
      </c>
      <c r="C6" s="2">
        <f>C2*365*C3*C4</f>
      </c>
      <c r="D6" s="2">
        <f>D2*365*D3*D4</f>
      </c>
      <c r="E6" t="s">
        <v>69</v>
      </c>
    </row>
    <row r="7" spans="1:5" x14ac:dyDescent="0.25">
      <c r="A7" t="s">
        <v>70</v>
      </c>
      <c r="B7" s="2">
        <v>12750</v>
      </c>
      <c r="C7" s="2">
        <v>800000</v>
      </c>
      <c r="D7" s="2">
        <v>975000</v>
      </c>
      <c r="E7" t="s">
        <v>71</v>
      </c>
    </row>
    <row r="8" spans="1:5" x14ac:dyDescent="0.25">
      <c r="A8" t="s">
        <v>72</v>
      </c>
      <c r="B8" s="2">
        <f>B6+B7</f>
      </c>
      <c r="C8" s="2">
        <f>C6+C7</f>
      </c>
      <c r="D8" s="2">
        <f>D6+D7</f>
      </c>
      <c r="E8" t="s">
        <v>73</v>
      </c>
    </row>
    <row r="9" spans="1:5" x14ac:dyDescent="0.25">
      <c r="A9" t="s">
        <v>74</v>
      </c>
      <c r="B9" s="2">
        <v>1400000</v>
      </c>
      <c r="C9" s="2">
        <v>3685000</v>
      </c>
      <c r="D9" s="2">
        <v>4264000</v>
      </c>
      <c r="E9" t="s">
        <v>75</v>
      </c>
    </row>
    <row r="10" spans="1:5" x14ac:dyDescent="0.25">
      <c r="A10" t="s">
        <v>76</v>
      </c>
      <c r="B10" s="3">
        <f>B9/B8</f>
      </c>
      <c r="C10" s="3">
        <f>C9/C8</f>
      </c>
      <c r="D10" s="3">
        <f>D9/D8</f>
      </c>
      <c r="E10" t="s">
        <v>77</v>
      </c>
    </row>
    <row r="11" spans="1:5" x14ac:dyDescent="0.25">
      <c r="A11" t="s">
        <v>78</v>
      </c>
      <c r="B11" s="2">
        <f>B8-B9</f>
      </c>
      <c r="C11" s="2">
        <f>C8-C9</f>
      </c>
      <c r="D11" s="2">
        <f>D8-D9</f>
      </c>
      <c r="E11" t="s">
        <v>79</v>
      </c>
    </row>
    <row r="13" spans="1:5" x14ac:dyDescent="0.25">
      <c r="A13" t="s">
        <v>80</v>
      </c>
      <c r="B13" t="s">
        <v>1</v>
      </c>
      <c r="C13" t="s">
        <v>1</v>
      </c>
      <c r="D13" t="s">
        <v>1</v>
      </c>
      <c r="E13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FormatPr defaultRowHeight="15" outlineLevelRow="0" outlineLevelCol="0" x14ac:dyDescent="55"/>
  <cols>
    <col min="1" max="1" width="34" customWidth="1"/>
    <col min="2" max="2" width="16" customWidth="1"/>
    <col min="3" max="3" width="50" customWidth="1"/>
  </cols>
  <sheetData>
    <row r="1" spans="1:3" s="5" customFormat="1" x14ac:dyDescent="0.25">
      <c r="A1" s="5" t="s">
        <v>81</v>
      </c>
      <c r="B1" s="5" t="s">
        <v>1</v>
      </c>
      <c r="C1" s="5" t="s">
        <v>1</v>
      </c>
    </row>
    <row r="2" spans="1:3" x14ac:dyDescent="0.25">
      <c r="A2" t="s">
        <v>82</v>
      </c>
      <c r="B2" s="2">
        <v>18400000</v>
      </c>
      <c r="C2" t="s">
        <v>34</v>
      </c>
    </row>
    <row r="3" spans="1:3" x14ac:dyDescent="0.25">
      <c r="A3" t="s">
        <v>83</v>
      </c>
      <c r="B3" s="6">
        <v>0.053</v>
      </c>
      <c r="C3" t="s">
        <v>84</v>
      </c>
    </row>
    <row r="4" spans="1:3" x14ac:dyDescent="0.25">
      <c r="A4" t="s">
        <v>85</v>
      </c>
      <c r="B4">
        <v>400</v>
      </c>
      <c r="C4" t="s">
        <v>86</v>
      </c>
    </row>
    <row r="5" spans="1:3" x14ac:dyDescent="0.25">
      <c r="A5" t="s">
        <v>87</v>
      </c>
      <c r="B5" s="6">
        <f>B3+B4/10000</f>
      </c>
      <c r="C5" t="s">
        <v>88</v>
      </c>
    </row>
    <row r="6" spans="1:3" x14ac:dyDescent="0.25">
      <c r="A6" t="s">
        <v>89</v>
      </c>
      <c r="B6" t="s">
        <v>90</v>
      </c>
      <c r="C6" t="s">
        <v>91</v>
      </c>
    </row>
    <row r="7" spans="1:3" x14ac:dyDescent="0.25">
      <c r="A7" t="s">
        <v>92</v>
      </c>
      <c r="B7" s="2">
        <f>B2*B5</f>
      </c>
      <c r="C7" t="s">
        <v>93</v>
      </c>
    </row>
    <row r="8" spans="1:3" x14ac:dyDescent="0.25">
      <c r="A8" t="s">
        <v>94</v>
      </c>
      <c r="B8" s="2">
        <f>B2*0.02</f>
      </c>
      <c r="C8" t="s">
        <v>95</v>
      </c>
    </row>
    <row r="9" spans="1:3" x14ac:dyDescent="0.25">
      <c r="A9" t="s">
        <v>96</v>
      </c>
      <c r="B9" s="2">
        <f>B2*0.01</f>
      </c>
      <c r="C9" t="s">
        <v>97</v>
      </c>
    </row>
    <row r="11" spans="1:3" s="5" customFormat="1" x14ac:dyDescent="0.25">
      <c r="A11" s="5" t="s">
        <v>98</v>
      </c>
      <c r="B11" s="5" t="s">
        <v>99</v>
      </c>
      <c r="C11" s="5" t="s">
        <v>100</v>
      </c>
    </row>
    <row r="12" spans="1:3" x14ac:dyDescent="0.25">
      <c r="A12" t="s">
        <v>101</v>
      </c>
      <c r="B12" s="4">
        <f>'Operating Pro Forma'!B11/B7</f>
      </c>
      <c r="C12" t="s">
        <v>102</v>
      </c>
    </row>
    <row r="13" spans="1:3" x14ac:dyDescent="0.25">
      <c r="A13" t="s">
        <v>103</v>
      </c>
      <c r="B13" s="4">
        <f>'Operating Pro Forma'!C11/B7</f>
      </c>
      <c r="C13" t="s">
        <v>104</v>
      </c>
    </row>
    <row r="14" spans="1:3" x14ac:dyDescent="0.25">
      <c r="A14" t="s">
        <v>105</v>
      </c>
      <c r="B14" s="4">
        <f>'Operating Pro Forma'!D11/B7</f>
      </c>
      <c r="C14" t="s">
        <v>106</v>
      </c>
    </row>
    <row r="15" spans="1:3" x14ac:dyDescent="0.25">
      <c r="A15" t="s">
        <v>107</v>
      </c>
      <c r="B15" s="3">
        <f>'Operating Pro Forma'!D11/B2</f>
      </c>
      <c r="C15" t="s">
        <v>108</v>
      </c>
    </row>
    <row r="16" spans="1:3" x14ac:dyDescent="0.25">
      <c r="A16" t="s">
        <v>109</v>
      </c>
      <c r="B16" s="3">
        <v>0.6</v>
      </c>
      <c r="C16" t="s">
        <v>110</v>
      </c>
    </row>
    <row r="17" spans="1:3" x14ac:dyDescent="0.25">
      <c r="A17" t="s">
        <v>111</v>
      </c>
      <c r="B17">
        <v>140</v>
      </c>
      <c r="C17" t="s">
        <v>112</v>
      </c>
    </row>
    <row r="19" spans="1:3" s="5" customFormat="1" x14ac:dyDescent="0.25">
      <c r="A19" s="5" t="s">
        <v>52</v>
      </c>
      <c r="B19" s="5" t="s">
        <v>1</v>
      </c>
      <c r="C19" s="5" t="s">
        <v>1</v>
      </c>
    </row>
    <row r="20" spans="1:3" x14ac:dyDescent="0.25">
      <c r="A20" t="s">
        <v>113</v>
      </c>
      <c r="B20" s="2">
        <v>700000</v>
      </c>
      <c r="C20" t="s">
        <v>114</v>
      </c>
    </row>
    <row r="21" spans="1:3" x14ac:dyDescent="0.25">
      <c r="A21" t="s">
        <v>115</v>
      </c>
      <c r="B21" s="2">
        <v>500000</v>
      </c>
      <c r="C21" t="s">
        <v>116</v>
      </c>
    </row>
    <row r="22" spans="1:3" x14ac:dyDescent="0.25">
      <c r="A22" t="s">
        <v>117</v>
      </c>
      <c r="B22" s="2">
        <f>150*300</f>
      </c>
      <c r="C22" t="s">
        <v>118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26" customWidth="1"/>
    <col min="2" max="6" width="13" customWidth="1"/>
  </cols>
  <sheetData>
    <row r="1" spans="1:6" s="5" customFormat="1" x14ac:dyDescent="0.25">
      <c r="A1" s="5" t="s">
        <v>119</v>
      </c>
      <c r="B1" s="5" t="s">
        <v>120</v>
      </c>
      <c r="C1" s="5" t="s">
        <v>121</v>
      </c>
      <c r="D1" s="5" t="s">
        <v>122</v>
      </c>
      <c r="E1" s="5" t="s">
        <v>123</v>
      </c>
      <c r="F1" s="5" t="s">
        <v>1</v>
      </c>
    </row>
    <row r="2" spans="1:5" x14ac:dyDescent="0.25">
      <c r="A2" t="s">
        <v>124</v>
      </c>
      <c r="B2" s="4">
        <f>((150*365*0.6*140+'Operating Pro Forma'!$D$7)*(1-0.60))/'Debt &amp; Covenants'!$B$7</f>
      </c>
      <c r="C2" s="4">
        <f>((150*365*0.6*150+'Operating Pro Forma'!$D$7)*(1-0.60))/'Debt &amp; Covenants'!$B$7</f>
      </c>
      <c r="D2" s="4">
        <f>((150*365*0.6*160+'Operating Pro Forma'!$D$7)*(1-0.60))/'Debt &amp; Covenants'!$B$7</f>
      </c>
      <c r="E2" s="4">
        <f>((150*365*0.6*170+'Operating Pro Forma'!$D$7)*(1-0.60))/'Debt &amp; Covenants'!$B$7</f>
      </c>
    </row>
    <row r="3" spans="1:5" x14ac:dyDescent="0.25">
      <c r="A3" t="s">
        <v>125</v>
      </c>
      <c r="B3" s="4">
        <f>((150*365*0.65*140+'Operating Pro Forma'!$D$7)*(1-0.60))/'Debt &amp; Covenants'!$B$7</f>
      </c>
      <c r="C3" s="4">
        <f>((150*365*0.65*150+'Operating Pro Forma'!$D$7)*(1-0.60))/'Debt &amp; Covenants'!$B$7</f>
      </c>
      <c r="D3" s="4">
        <f>((150*365*0.65*160+'Operating Pro Forma'!$D$7)*(1-0.60))/'Debt &amp; Covenants'!$B$7</f>
      </c>
      <c r="E3" s="4">
        <f>((150*365*0.65*170+'Operating Pro Forma'!$D$7)*(1-0.60))/'Debt &amp; Covenants'!$B$7</f>
      </c>
    </row>
    <row r="4" spans="1:5" x14ac:dyDescent="0.25">
      <c r="A4" t="s">
        <v>126</v>
      </c>
      <c r="B4" s="4">
        <f>((150*365*0.7*140+'Operating Pro Forma'!$D$7)*(1-0.60))/'Debt &amp; Covenants'!$B$7</f>
      </c>
      <c r="C4" s="4">
        <f>((150*365*0.7*150+'Operating Pro Forma'!$D$7)*(1-0.60))/'Debt &amp; Covenants'!$B$7</f>
      </c>
      <c r="D4" s="4">
        <f>((150*365*0.7*160+'Operating Pro Forma'!$D$7)*(1-0.60))/'Debt &amp; Covenants'!$B$7</f>
      </c>
      <c r="E4" s="4">
        <f>((150*365*0.7*170+'Operating Pro Forma'!$D$7)*(1-0.60))/'Debt &amp; Covenants'!$B$7</f>
      </c>
    </row>
    <row r="5" spans="1:5" x14ac:dyDescent="0.25">
      <c r="A5" t="s">
        <v>127</v>
      </c>
      <c r="B5" s="4">
        <f>((150*365*0.75*140+'Operating Pro Forma'!$D$7)*(1-0.60))/'Debt &amp; Covenants'!$B$7</f>
      </c>
      <c r="C5" s="4">
        <f>((150*365*0.75*150+'Operating Pro Forma'!$D$7)*(1-0.60))/'Debt &amp; Covenants'!$B$7</f>
      </c>
      <c r="D5" s="4">
        <f>((150*365*0.75*160+'Operating Pro Forma'!$D$7)*(1-0.60))/'Debt &amp; Covenants'!$B$7</f>
      </c>
      <c r="E5" s="4">
        <f>((150*365*0.75*170+'Operating Pro Forma'!$D$7)*(1-0.60))/'Debt &amp; Covenants'!$B$7</f>
      </c>
    </row>
    <row r="7" spans="1:1" x14ac:dyDescent="0.25">
      <c r="A7" t="s">
        <v>128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38" customWidth="1"/>
    <col min="2" max="2" width="16" customWidth="1"/>
    <col min="3" max="3" width="50" customWidth="1"/>
  </cols>
  <sheetData>
    <row r="1" spans="1:3" s="5" customFormat="1" x14ac:dyDescent="0.25">
      <c r="A1" s="5" t="s">
        <v>129</v>
      </c>
      <c r="B1" s="5" t="s">
        <v>1</v>
      </c>
      <c r="C1" s="5" t="s">
        <v>1</v>
      </c>
    </row>
    <row r="2" spans="1:3" x14ac:dyDescent="0.25">
      <c r="A2" t="s">
        <v>130</v>
      </c>
      <c r="B2" s="2">
        <f>'Operating Pro Forma'!D11</f>
      </c>
      <c r="C2" t="s">
        <v>131</v>
      </c>
    </row>
    <row r="3" spans="1:3" x14ac:dyDescent="0.25">
      <c r="A3" t="s">
        <v>132</v>
      </c>
      <c r="B3" s="6">
        <v>0.065</v>
      </c>
      <c r="C3" t="s">
        <v>133</v>
      </c>
    </row>
    <row r="4" spans="1:3" x14ac:dyDescent="0.25">
      <c r="A4" t="s">
        <v>134</v>
      </c>
      <c r="B4">
        <v>30</v>
      </c>
      <c r="C4" t="s">
        <v>133</v>
      </c>
    </row>
    <row r="5" spans="1:3" x14ac:dyDescent="0.25">
      <c r="A5" t="s">
        <v>135</v>
      </c>
      <c r="B5" s="6">
        <f>(B3/12*POWER(1+B3/12,B4*12))/(POWER(1+B3/12,B4*12)-1)*12</f>
      </c>
      <c r="C5" t="s">
        <v>136</v>
      </c>
    </row>
    <row r="6" spans="1:3" x14ac:dyDescent="0.25">
      <c r="A6" t="s">
        <v>137</v>
      </c>
      <c r="B6" s="2">
        <f>B2/1.3/B5</f>
      </c>
      <c r="C6" t="s">
        <v>138</v>
      </c>
    </row>
    <row r="7" spans="1:3" x14ac:dyDescent="0.25">
      <c r="A7" t="s">
        <v>139</v>
      </c>
      <c r="B7" s="6">
        <v>0.08</v>
      </c>
      <c r="C7" t="s">
        <v>133</v>
      </c>
    </row>
    <row r="8" spans="1:3" x14ac:dyDescent="0.25">
      <c r="A8" t="s">
        <v>140</v>
      </c>
      <c r="B8" s="2">
        <f>B2/B7</f>
      </c>
      <c r="C8" t="s">
        <v>141</v>
      </c>
    </row>
    <row r="9" spans="1:3" x14ac:dyDescent="0.25">
      <c r="A9" t="s">
        <v>142</v>
      </c>
      <c r="B9" s="2">
        <f>B8*0.65</f>
      </c>
      <c r="C9" t="s">
        <v>143</v>
      </c>
    </row>
    <row r="10" spans="1:3" x14ac:dyDescent="0.25">
      <c r="A10" t="s">
        <v>144</v>
      </c>
      <c r="B10" s="2">
        <f>MIN(B6,B9)</f>
      </c>
      <c r="C10" t="s">
        <v>145</v>
      </c>
    </row>
    <row r="11" spans="1:3" x14ac:dyDescent="0.25">
      <c r="A11" t="s">
        <v>146</v>
      </c>
      <c r="B11" s="2">
        <f>'Debt &amp; Covenants'!B2</f>
      </c>
      <c r="C11" t="s">
        <v>1</v>
      </c>
    </row>
    <row r="12" spans="1:3" x14ac:dyDescent="0.25">
      <c r="A12" t="s">
        <v>147</v>
      </c>
      <c r="B12" s="2">
        <v>350000</v>
      </c>
      <c r="C12" t="s">
        <v>91</v>
      </c>
    </row>
    <row r="13" spans="1:3" x14ac:dyDescent="0.25">
      <c r="A13" t="s">
        <v>148</v>
      </c>
      <c r="B13" s="2">
        <f>B10-B11-B12</f>
      </c>
      <c r="C13" t="s">
        <v>149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30" customWidth="1"/>
    <col min="2" max="2" width="60" customWidth="1"/>
    <col min="3" max="3" width="14" customWidth="1"/>
  </cols>
  <sheetData>
    <row r="1" spans="1:3" s="5" customFormat="1" x14ac:dyDescent="0.25">
      <c r="A1" s="5" t="s">
        <v>150</v>
      </c>
      <c r="B1" s="5" t="s">
        <v>151</v>
      </c>
      <c r="C1" s="5" t="s">
        <v>152</v>
      </c>
    </row>
    <row r="2" spans="1:3" x14ac:dyDescent="0.25">
      <c r="A2" t="s">
        <v>153</v>
      </c>
      <c r="B2" t="s">
        <v>154</v>
      </c>
      <c r="C2">
        <v>0.9</v>
      </c>
    </row>
    <row r="3" spans="1:3" x14ac:dyDescent="0.25">
      <c r="A3" t="s">
        <v>155</v>
      </c>
      <c r="B3" t="s">
        <v>156</v>
      </c>
      <c r="C3">
        <v>0.7</v>
      </c>
    </row>
    <row r="4" spans="1:3" x14ac:dyDescent="0.25">
      <c r="A4" t="s">
        <v>157</v>
      </c>
      <c r="B4" t="s">
        <v>158</v>
      </c>
      <c r="C4">
        <v>0.5</v>
      </c>
    </row>
    <row r="5" spans="1:3" x14ac:dyDescent="0.25">
      <c r="A5" t="s">
        <v>159</v>
      </c>
      <c r="B5" t="s">
        <v>160</v>
      </c>
      <c r="C5">
        <v>1</v>
      </c>
    </row>
    <row r="6" spans="1:3" x14ac:dyDescent="0.25">
      <c r="A6" t="s">
        <v>161</v>
      </c>
      <c r="B6" t="s">
        <v>162</v>
      </c>
      <c r="C6">
        <v>1</v>
      </c>
    </row>
    <row r="7" spans="1:3" x14ac:dyDescent="0.25">
      <c r="A7" t="s">
        <v>163</v>
      </c>
      <c r="B7" t="s">
        <v>164</v>
      </c>
      <c r="C7">
        <v>1</v>
      </c>
    </row>
    <row r="8" spans="1:3" x14ac:dyDescent="0.25">
      <c r="A8" t="s">
        <v>165</v>
      </c>
      <c r="B8" t="s">
        <v>166</v>
      </c>
      <c r="C8">
        <v>0.6</v>
      </c>
    </row>
    <row r="9" spans="1:3" x14ac:dyDescent="0.25">
      <c r="A9" t="s">
        <v>167</v>
      </c>
      <c r="B9" t="s">
        <v>168</v>
      </c>
      <c r="C9">
        <v>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Sources &amp; Uses</vt:lpstr>
      <vt:lpstr>Operating Pro Forma</vt:lpstr>
      <vt:lpstr>Debt &amp; Covenants</vt:lpstr>
      <vt:lpstr>Sensitivity</vt:lpstr>
      <vt:lpstr>Refinance &amp; Exit</vt:lpstr>
      <vt:lpstr>Audit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Mosaic Capital Solutions</dc:creator>
  <dc:title/>
  <dc:subject/>
  <dc:description/>
  <cp:keywords/>
  <cp:category/>
  <cp:lastModifiedBy>Unknown</cp:lastModifiedBy>
  <dcterms:created xsi:type="dcterms:W3CDTF">2026-07-25T13:23:55Z</dcterms:created>
  <dcterms:modified xsi:type="dcterms:W3CDTF">2026-07-25T13:23:55Z</dcterms:modified>
</cp:coreProperties>
</file>